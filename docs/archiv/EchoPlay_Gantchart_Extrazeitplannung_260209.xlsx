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63007B09-68A7-4F5D-A704-35F2FCD949E3}" xr6:coauthVersionLast="47" xr6:coauthVersionMax="47" xr10:uidLastSave="{00000000-0000-0000-0000-000000000000}"/>
  <bookViews>
    <workbookView xWindow="-110" yWindow="-110" windowWidth="19420" windowHeight="11500"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9" i="11" l="1"/>
  <c r="I5" i="11" l="1"/>
  <c r="I6" i="11" s="1"/>
  <c r="H12" i="11"/>
  <c r="H8" i="11"/>
  <c r="H9" i="11" l="1"/>
  <c r="H10" i="11" l="1"/>
  <c r="J5" i="11"/>
  <c r="I4" i="11"/>
  <c r="K5" i="11" l="1"/>
  <c r="J6" i="11"/>
  <c r="H11" i="11"/>
  <c r="L5" i="11" l="1"/>
  <c r="K6"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<sst xmlns="http://schemas.openxmlformats.org/spreadsheetml/2006/main" count="46" uniqueCount="43">
  <si>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</si>
  <si>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</si>
  <si>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</si>
  <si>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</si>
  <si>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</si>
  <si>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</si>
  <si>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</si>
  <si>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</si>
  <si>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</si>
  <si>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</si>
  <si>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Diese Zeile kennzeichnet das Ende des Projektplans. Geben Sie in dieser Zeile NICHTS EIN. 
Fügen Sie ÜBER dieser Zeile neue Zeilen ein, um mit der Erstellung Ihres Projektplans fortzufahren.</t>
  </si>
  <si>
    <t>PROJEKTTITEL</t>
  </si>
  <si>
    <t>Firmenname</t>
  </si>
  <si>
    <t>Projektleiter</t>
  </si>
  <si>
    <t>AUFGABE</t>
  </si>
  <si>
    <t>Neue Zeilen ÜBER dieser einfügen</t>
  </si>
  <si>
    <t>Anzeigewoche:</t>
  </si>
  <si>
    <t>ZUGEWIESEN
AN</t>
  </si>
  <si>
    <t>FORTSCHRITT</t>
  </si>
  <si>
    <t>START</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</si>
  <si>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</si>
  <si>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</si>
  <si>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</si>
  <si>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</si>
  <si>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</si>
  <si>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</si>
  <si>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</si>
  <si>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</si>
  <si>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</si>
  <si>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</si>
  <si>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</si>
  <si>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</si>
  <si>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</si>
  <si>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</si>
  <si>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</si>
  <si>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</si>
  <si>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</si>
  <si>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Auswerten</t>
  </si>
  <si>
    <t>Tom Nielsen</t>
  </si>
  <si>
    <t>TomdieNusdermachtdieNews</t>
  </si>
  <si>
    <t>Extrazeit</t>
  </si>
  <si>
    <t>Arkanoid</t>
  </si>
  <si>
    <t>Dokumentation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</si>
</sst>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dd\,\ d/m/yyyy"/>
    <numFmt numFmtId="170" formatCode="d/\ mmm\ yy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3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9"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8" borderId="0" applyNumberFormat="0" applyBorder="0" applyAlignment="0" applyProtection="0"/>
    <xf numFmtId="0" fontId="28" fillId="9" borderId="0" applyNumberFormat="0" applyBorder="0" applyAlignment="0" applyProtection="0"/>
    <xf numFmtId="0" fontId="29" fillId="10" borderId="0" applyNumberFormat="0" applyBorder="0" applyAlignment="0" applyProtection="0"/>
    <xf numFmtId="0" fontId="30" fillId="11" borderId="11" applyNumberFormat="0" applyAlignment="0" applyProtection="0"/>
    <xf numFmtId="0" fontId="31" fillId="12" borderId="12" applyNumberFormat="0" applyAlignment="0" applyProtection="0"/>
    <xf numFmtId="0" fontId="32" fillId="12" borderId="11" applyNumberFormat="0" applyAlignment="0" applyProtection="0"/>
    <xf numFmtId="0" fontId="33" fillId="0" borderId="13" applyNumberFormat="0" applyFill="0" applyAlignment="0" applyProtection="0"/>
    <xf numFmtId="0" fontId="34" fillId="13" borderId="14" applyNumberFormat="0" applyAlignment="0" applyProtection="0"/>
    <xf numFmtId="0" fontId="35" fillId="0" borderId="0" applyNumberFormat="0" applyFill="0" applyBorder="0" applyAlignment="0" applyProtection="0"/>
    <xf numFmtId="0" fontId="9" fillId="14"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cellStyleXfs>
  <cellXfs count="6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5" borderId="2" xfId="11" applyFill="1">
      <alignment horizontal="center" vertical="center"/>
    </xf>
    <xf numFmtId="0" fontId="9" fillId="3" borderId="2" xfId="11" applyFill="1">
      <alignment horizontal="center" vertical="center"/>
    </xf>
    <xf numFmtId="0" fontId="9" fillId="3" borderId="2" xfId="12" applyFill="1">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3" borderId="2" xfId="10" applyFill="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71" fontId="11" fillId="4" borderId="6" xfId="0" applyNumberFormat="1" applyFont="1" applyFill="1" applyBorder="1" applyAlignment="1">
      <alignment horizontal="center" vertical="center"/>
    </xf>
    <xf numFmtId="171" fontId="11" fillId="4" borderId="0" xfId="0" applyNumberFormat="1" applyFont="1" applyFill="1" applyAlignment="1">
      <alignment horizontal="center" vertical="center"/>
    </xf>
    <xf numFmtId="171" fontId="11" fillId="4" borderId="7" xfId="0" applyNumberFormat="1" applyFont="1" applyFill="1" applyBorder="1" applyAlignment="1">
      <alignment horizontal="center" vertical="center"/>
    </xf>
    <xf numFmtId="0" fontId="0" fillId="0" borderId="0" xfId="0" applyAlignment="1">
      <alignment horizontal="left"/>
    </xf>
    <xf numFmtId="0" fontId="9" fillId="0" borderId="0" xfId="8" applyAlignment="1">
      <alignment vertical="top"/>
    </xf>
    <xf numFmtId="0" fontId="9" fillId="0" borderId="7" xfId="8" applyBorder="1" applyAlignment="1">
      <alignment vertical="top"/>
    </xf>
    <xf numFmtId="169" fontId="9" fillId="0" borderId="3" xfId="9">
      <alignment horizontal="center" vertical="center"/>
    </xf>
    <xf numFmtId="170" fontId="0" fillId="4" borderId="4" xfId="0" applyNumberFormat="1" applyFill="1" applyBorder="1" applyAlignment="1">
      <alignment horizontal="left" vertical="center" wrapText="1" indent="1"/>
    </xf>
    <xf numFmtId="170" fontId="0" fillId="4" borderId="1" xfId="0" applyNumberFormat="1" applyFill="1" applyBorder="1" applyAlignment="1">
      <alignment horizontal="left" vertical="center" wrapText="1" indent="1"/>
    </xf>
    <xf numFmtId="170" fontId="0" fillId="4"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15"/>
  <sheetViews>
    <sheetView showGridLines="0" tabSelected="1" showRuler="0" zoomScaleNormal="100" zoomScalePageLayoutView="70" workbookViewId="0">
      <pane ySplit="6" topLeftCell="A8" activePane="bottomLeft" state="frozen"/>
      <selection pane="bottomLeft" activeCell="D10" sqref="D10"/>
    </sheetView>
  </sheetViews>
  <sheetFormatPr baseColWidth="10" defaultColWidth="9.1796875" defaultRowHeight="30" customHeight="1" x14ac:dyDescent="0.35"/>
  <cols>
    <col min="1" max="1" width="2.7265625" style="35" customWidth="1"/>
    <col min="2" max="2" width="27.453125" bestFit="1" customWidth="1"/>
    <col min="3" max="3" width="27.81640625" bestFit="1" customWidth="1"/>
    <col min="4" max="4" width="10.7265625" customWidth="1"/>
    <col min="5" max="5" width="12.7265625" style="5" bestFit="1" customWidth="1"/>
    <col min="6" max="6" width="10.453125" customWidth="1"/>
    <col min="7" max="7" width="2.7265625" customWidth="1"/>
    <col min="8" max="8" width="6.1796875" hidden="1" customWidth="1"/>
    <col min="9" max="64" width="2.54296875" customWidth="1"/>
    <col min="69" max="70" width="10.26953125"/>
  </cols>
  <sheetData>
    <row r="1" spans="1:64" ht="30" customHeight="1" x14ac:dyDescent="0.65">
      <c r="A1" s="36" t="s">
        <v>0</v>
      </c>
      <c r="B1" s="39" t="s">
        <v>11</v>
      </c>
      <c r="C1" s="1"/>
      <c r="D1" s="2"/>
      <c r="E1" s="4"/>
      <c r="F1" s="24"/>
      <c r="H1" s="2"/>
      <c r="I1" s="46"/>
    </row>
    <row r="2" spans="1:64" ht="30" customHeight="1" x14ac:dyDescent="0.45">
      <c r="A2" s="35" t="s">
        <v>1</v>
      </c>
      <c r="B2" s="40" t="s">
        <v>12</v>
      </c>
      <c r="C2" s="57" t="s">
        <v>39</v>
      </c>
      <c r="D2" s="57"/>
      <c r="I2" s="47"/>
    </row>
    <row r="3" spans="1:64" ht="30" customHeight="1" x14ac:dyDescent="0.35">
      <c r="A3" s="35" t="s">
        <v>2</v>
      </c>
      <c r="B3" s="41" t="s">
        <v>13</v>
      </c>
      <c r="C3" s="58" t="s">
        <v>38</v>
      </c>
      <c r="D3" s="59"/>
      <c r="E3" s="60">
        <v>46062</v>
      </c>
      <c r="F3" s="60"/>
    </row>
    <row r="4" spans="1:64" ht="30" customHeight="1" x14ac:dyDescent="0.35">
      <c r="A4" s="36" t="s">
        <v>3</v>
      </c>
      <c r="C4" s="64" t="s">
        <v>16</v>
      </c>
      <c r="D4" s="65"/>
      <c r="E4" s="7">
        <v>1</v>
      </c>
      <c r="I4" s="61">
        <f>I5</f>
        <v>46062</v>
      </c>
      <c r="J4" s="62"/>
      <c r="K4" s="62"/>
      <c r="L4" s="62"/>
      <c r="M4" s="62"/>
      <c r="N4" s="62"/>
      <c r="O4" s="63"/>
      <c r="P4" s="61">
        <f>P5</f>
        <v>46069</v>
      </c>
      <c r="Q4" s="62"/>
      <c r="R4" s="62"/>
      <c r="S4" s="62"/>
      <c r="T4" s="62"/>
      <c r="U4" s="62"/>
      <c r="V4" s="63"/>
      <c r="W4" s="61">
        <f>W5</f>
        <v>46076</v>
      </c>
      <c r="X4" s="62"/>
      <c r="Y4" s="62"/>
      <c r="Z4" s="62"/>
      <c r="AA4" s="62"/>
      <c r="AB4" s="62"/>
      <c r="AC4" s="63"/>
      <c r="AD4" s="61">
        <f>AD5</f>
        <v>46083</v>
      </c>
      <c r="AE4" s="62"/>
      <c r="AF4" s="62"/>
      <c r="AG4" s="62"/>
      <c r="AH4" s="62"/>
      <c r="AI4" s="62"/>
      <c r="AJ4" s="63"/>
      <c r="AK4" s="61">
        <f>AK5</f>
        <v>46090</v>
      </c>
      <c r="AL4" s="62"/>
      <c r="AM4" s="62"/>
      <c r="AN4" s="62"/>
      <c r="AO4" s="62"/>
      <c r="AP4" s="62"/>
      <c r="AQ4" s="63"/>
      <c r="AR4" s="61">
        <f>AR5</f>
        <v>46097</v>
      </c>
      <c r="AS4" s="62"/>
      <c r="AT4" s="62"/>
      <c r="AU4" s="62"/>
      <c r="AV4" s="62"/>
      <c r="AW4" s="62"/>
      <c r="AX4" s="63"/>
      <c r="AY4" s="61">
        <f>AY5</f>
        <v>46104</v>
      </c>
      <c r="AZ4" s="62"/>
      <c r="BA4" s="62"/>
      <c r="BB4" s="62"/>
      <c r="BC4" s="62"/>
      <c r="BD4" s="62"/>
      <c r="BE4" s="63"/>
      <c r="BF4" s="61">
        <f>BF5</f>
        <v>46111</v>
      </c>
      <c r="BG4" s="62"/>
      <c r="BH4" s="62"/>
      <c r="BI4" s="62"/>
      <c r="BJ4" s="62"/>
      <c r="BK4" s="62"/>
      <c r="BL4" s="63"/>
    </row>
    <row r="5" spans="1:64" ht="15" customHeight="1" x14ac:dyDescent="0.35">
      <c r="A5" s="36" t="s">
        <v>4</v>
      </c>
      <c r="B5" s="45"/>
      <c r="C5" s="45"/>
      <c r="D5" s="45"/>
      <c r="E5" s="45"/>
      <c r="F5" s="45"/>
      <c r="G5" s="45"/>
      <c r="I5" s="54">
        <f>Projektanfang-WEEKDAY(Projektanfang,1)+2+7*(Anzeigewoche-1)</f>
        <v>46062</v>
      </c>
      <c r="J5" s="55">
        <f>I5+1</f>
        <v>46063</v>
      </c>
      <c r="K5" s="55">
        <f t="shared" ref="K5:AX5" si="0">J5+1</f>
        <v>46064</v>
      </c>
      <c r="L5" s="55">
        <f t="shared" si="0"/>
        <v>46065</v>
      </c>
      <c r="M5" s="55">
        <f t="shared" si="0"/>
        <v>46066</v>
      </c>
      <c r="N5" s="55">
        <f t="shared" si="0"/>
        <v>46067</v>
      </c>
      <c r="O5" s="56">
        <f t="shared" si="0"/>
        <v>46068</v>
      </c>
      <c r="P5" s="54">
        <f>O5+1</f>
        <v>46069</v>
      </c>
      <c r="Q5" s="55">
        <f>P5+1</f>
        <v>46070</v>
      </c>
      <c r="R5" s="55">
        <f t="shared" si="0"/>
        <v>46071</v>
      </c>
      <c r="S5" s="55">
        <f t="shared" si="0"/>
        <v>46072</v>
      </c>
      <c r="T5" s="55">
        <f t="shared" si="0"/>
        <v>46073</v>
      </c>
      <c r="U5" s="55">
        <f t="shared" si="0"/>
        <v>46074</v>
      </c>
      <c r="V5" s="56">
        <f t="shared" si="0"/>
        <v>46075</v>
      </c>
      <c r="W5" s="54">
        <f>V5+1</f>
        <v>46076</v>
      </c>
      <c r="X5" s="55">
        <f>W5+1</f>
        <v>46077</v>
      </c>
      <c r="Y5" s="55">
        <f t="shared" si="0"/>
        <v>46078</v>
      </c>
      <c r="Z5" s="55">
        <f t="shared" si="0"/>
        <v>46079</v>
      </c>
      <c r="AA5" s="55">
        <f t="shared" si="0"/>
        <v>46080</v>
      </c>
      <c r="AB5" s="55">
        <f t="shared" si="0"/>
        <v>46081</v>
      </c>
      <c r="AC5" s="56">
        <f t="shared" si="0"/>
        <v>46082</v>
      </c>
      <c r="AD5" s="54">
        <f>AC5+1</f>
        <v>46083</v>
      </c>
      <c r="AE5" s="55">
        <f>AD5+1</f>
        <v>46084</v>
      </c>
      <c r="AF5" s="55">
        <f t="shared" si="0"/>
        <v>46085</v>
      </c>
      <c r="AG5" s="55">
        <f t="shared" si="0"/>
        <v>46086</v>
      </c>
      <c r="AH5" s="55">
        <f t="shared" si="0"/>
        <v>46087</v>
      </c>
      <c r="AI5" s="55">
        <f t="shared" si="0"/>
        <v>46088</v>
      </c>
      <c r="AJ5" s="56">
        <f t="shared" si="0"/>
        <v>46089</v>
      </c>
      <c r="AK5" s="54">
        <f>AJ5+1</f>
        <v>46090</v>
      </c>
      <c r="AL5" s="55">
        <f>AK5+1</f>
        <v>46091</v>
      </c>
      <c r="AM5" s="55">
        <f t="shared" si="0"/>
        <v>46092</v>
      </c>
      <c r="AN5" s="55">
        <f t="shared" si="0"/>
        <v>46093</v>
      </c>
      <c r="AO5" s="55">
        <f t="shared" si="0"/>
        <v>46094</v>
      </c>
      <c r="AP5" s="55">
        <f t="shared" si="0"/>
        <v>46095</v>
      </c>
      <c r="AQ5" s="56">
        <f t="shared" si="0"/>
        <v>46096</v>
      </c>
      <c r="AR5" s="54">
        <f>AQ5+1</f>
        <v>46097</v>
      </c>
      <c r="AS5" s="55">
        <f>AR5+1</f>
        <v>46098</v>
      </c>
      <c r="AT5" s="55">
        <f t="shared" si="0"/>
        <v>46099</v>
      </c>
      <c r="AU5" s="55">
        <f t="shared" si="0"/>
        <v>46100</v>
      </c>
      <c r="AV5" s="55">
        <f t="shared" si="0"/>
        <v>46101</v>
      </c>
      <c r="AW5" s="55">
        <f t="shared" si="0"/>
        <v>46102</v>
      </c>
      <c r="AX5" s="56">
        <f t="shared" si="0"/>
        <v>46103</v>
      </c>
      <c r="AY5" s="54">
        <f>AX5+1</f>
        <v>46104</v>
      </c>
      <c r="AZ5" s="55">
        <f>AY5+1</f>
        <v>46105</v>
      </c>
      <c r="BA5" s="55">
        <f t="shared" ref="BA5:BE5" si="1">AZ5+1</f>
        <v>46106</v>
      </c>
      <c r="BB5" s="55">
        <f t="shared" si="1"/>
        <v>46107</v>
      </c>
      <c r="BC5" s="55">
        <f t="shared" si="1"/>
        <v>46108</v>
      </c>
      <c r="BD5" s="55">
        <f t="shared" si="1"/>
        <v>46109</v>
      </c>
      <c r="BE5" s="56">
        <f t="shared" si="1"/>
        <v>46110</v>
      </c>
      <c r="BF5" s="54">
        <f>BE5+1</f>
        <v>46111</v>
      </c>
      <c r="BG5" s="55">
        <f>BF5+1</f>
        <v>46112</v>
      </c>
      <c r="BH5" s="55">
        <f t="shared" ref="BH5:BL5" si="2">BG5+1</f>
        <v>46113</v>
      </c>
      <c r="BI5" s="55">
        <f t="shared" si="2"/>
        <v>46114</v>
      </c>
      <c r="BJ5" s="55">
        <f t="shared" si="2"/>
        <v>46115</v>
      </c>
      <c r="BK5" s="55">
        <f t="shared" si="2"/>
        <v>46116</v>
      </c>
      <c r="BL5" s="56">
        <f t="shared" si="2"/>
        <v>46117</v>
      </c>
    </row>
    <row r="6" spans="1:64" ht="30" customHeight="1" thickBot="1" x14ac:dyDescent="0.4">
      <c r="A6" s="36" t="s">
        <v>5</v>
      </c>
      <c r="B6" s="8" t="s">
        <v>14</v>
      </c>
      <c r="C6" s="9" t="s">
        <v>17</v>
      </c>
      <c r="D6" s="9" t="s">
        <v>18</v>
      </c>
      <c r="E6" s="9" t="s">
        <v>19</v>
      </c>
      <c r="F6" s="9" t="s">
        <v>20</v>
      </c>
      <c r="G6" s="9"/>
      <c r="H6" s="9" t="s">
        <v>21</v>
      </c>
      <c r="I6" s="10" t="str">
        <f t="shared" ref="I6:AN6" si="3">LEFT(TEXT(I5,"TTTT"),1)</f>
        <v>M</v>
      </c>
      <c r="J6" s="10" t="str">
        <f t="shared" si="3"/>
        <v>D</v>
      </c>
      <c r="K6" s="10" t="str">
        <f t="shared" si="3"/>
        <v>M</v>
      </c>
      <c r="L6" s="10" t="str">
        <f t="shared" si="3"/>
        <v>D</v>
      </c>
      <c r="M6" s="10" t="str">
        <f t="shared" si="3"/>
        <v>F</v>
      </c>
      <c r="N6" s="10" t="str">
        <f t="shared" si="3"/>
        <v>S</v>
      </c>
      <c r="O6" s="10" t="str">
        <f t="shared" si="3"/>
        <v>S</v>
      </c>
      <c r="P6" s="10" t="str">
        <f t="shared" si="3"/>
        <v>M</v>
      </c>
      <c r="Q6" s="10" t="str">
        <f t="shared" si="3"/>
        <v>D</v>
      </c>
      <c r="R6" s="10" t="str">
        <f t="shared" si="3"/>
        <v>M</v>
      </c>
      <c r="S6" s="10" t="str">
        <f t="shared" si="3"/>
        <v>D</v>
      </c>
      <c r="T6" s="10" t="str">
        <f t="shared" si="3"/>
        <v>F</v>
      </c>
      <c r="U6" s="10" t="str">
        <f t="shared" si="3"/>
        <v>S</v>
      </c>
      <c r="V6" s="10" t="str">
        <f t="shared" si="3"/>
        <v>S</v>
      </c>
      <c r="W6" s="10" t="str">
        <f t="shared" si="3"/>
        <v>M</v>
      </c>
      <c r="X6" s="10" t="str">
        <f t="shared" si="3"/>
        <v>D</v>
      </c>
      <c r="Y6" s="10" t="str">
        <f t="shared" si="3"/>
        <v>M</v>
      </c>
      <c r="Z6" s="10" t="str">
        <f t="shared" si="3"/>
        <v>D</v>
      </c>
      <c r="AA6" s="10" t="str">
        <f t="shared" si="3"/>
        <v>F</v>
      </c>
      <c r="AB6" s="10" t="str">
        <f t="shared" si="3"/>
        <v>S</v>
      </c>
      <c r="AC6" s="10" t="str">
        <f t="shared" si="3"/>
        <v>S</v>
      </c>
      <c r="AD6" s="10" t="str">
        <f t="shared" si="3"/>
        <v>M</v>
      </c>
      <c r="AE6" s="10" t="str">
        <f t="shared" si="3"/>
        <v>D</v>
      </c>
      <c r="AF6" s="10" t="str">
        <f t="shared" si="3"/>
        <v>M</v>
      </c>
      <c r="AG6" s="10" t="str">
        <f t="shared" si="3"/>
        <v>D</v>
      </c>
      <c r="AH6" s="10" t="str">
        <f t="shared" si="3"/>
        <v>F</v>
      </c>
      <c r="AI6" s="10" t="str">
        <f t="shared" si="3"/>
        <v>S</v>
      </c>
      <c r="AJ6" s="10" t="str">
        <f t="shared" si="3"/>
        <v>S</v>
      </c>
      <c r="AK6" s="10" t="str">
        <f t="shared" si="3"/>
        <v>M</v>
      </c>
      <c r="AL6" s="10" t="str">
        <f t="shared" si="3"/>
        <v>D</v>
      </c>
      <c r="AM6" s="10" t="str">
        <f t="shared" si="3"/>
        <v>M</v>
      </c>
      <c r="AN6" s="10" t="str">
        <f t="shared" si="3"/>
        <v>D</v>
      </c>
      <c r="AO6" s="10" t="str">
        <f t="shared" ref="AO6:BL6" si="4">LEFT(TEXT(AO5,"TTTT"),1)</f>
        <v>F</v>
      </c>
      <c r="AP6" s="10" t="str">
        <f t="shared" si="4"/>
        <v>S</v>
      </c>
      <c r="AQ6" s="10" t="str">
        <f t="shared" si="4"/>
        <v>S</v>
      </c>
      <c r="AR6" s="10" t="str">
        <f t="shared" si="4"/>
        <v>M</v>
      </c>
      <c r="AS6" s="10" t="str">
        <f t="shared" si="4"/>
        <v>D</v>
      </c>
      <c r="AT6" s="10" t="str">
        <f t="shared" si="4"/>
        <v>M</v>
      </c>
      <c r="AU6" s="10" t="str">
        <f t="shared" si="4"/>
        <v>D</v>
      </c>
      <c r="AV6" s="10" t="str">
        <f t="shared" si="4"/>
        <v>F</v>
      </c>
      <c r="AW6" s="10" t="str">
        <f t="shared" si="4"/>
        <v>S</v>
      </c>
      <c r="AX6" s="10" t="str">
        <f t="shared" si="4"/>
        <v>S</v>
      </c>
      <c r="AY6" s="10" t="str">
        <f t="shared" si="4"/>
        <v>M</v>
      </c>
      <c r="AZ6" s="10" t="str">
        <f t="shared" si="4"/>
        <v>D</v>
      </c>
      <c r="BA6" s="10" t="str">
        <f t="shared" si="4"/>
        <v>M</v>
      </c>
      <c r="BB6" s="10" t="str">
        <f t="shared" si="4"/>
        <v>D</v>
      </c>
      <c r="BC6" s="10" t="str">
        <f t="shared" si="4"/>
        <v>F</v>
      </c>
      <c r="BD6" s="10" t="str">
        <f t="shared" si="4"/>
        <v>S</v>
      </c>
      <c r="BE6" s="10" t="str">
        <f t="shared" si="4"/>
        <v>S</v>
      </c>
      <c r="BF6" s="10" t="str">
        <f t="shared" si="4"/>
        <v>M</v>
      </c>
      <c r="BG6" s="10" t="str">
        <f t="shared" si="4"/>
        <v>D</v>
      </c>
      <c r="BH6" s="10" t="str">
        <f t="shared" si="4"/>
        <v>M</v>
      </c>
      <c r="BI6" s="10" t="str">
        <f t="shared" si="4"/>
        <v>D</v>
      </c>
      <c r="BJ6" s="10" t="str">
        <f t="shared" si="4"/>
        <v>F</v>
      </c>
      <c r="BK6" s="10" t="str">
        <f t="shared" si="4"/>
        <v>S</v>
      </c>
      <c r="BL6" s="10" t="str">
        <f t="shared" si="4"/>
        <v>S</v>
      </c>
    </row>
    <row r="7" spans="1:64" ht="30" hidden="1" customHeight="1" thickBot="1" x14ac:dyDescent="0.4">
      <c r="A7" s="35" t="s">
        <v>6</v>
      </c>
      <c r="C7" s="38"/>
      <c r="E7"/>
      <c r="H7" t="str">
        <f>IF(OR(ISBLANK(task_start),ISBLANK(task_end)),"",task_end-task_start+1)</f>
        <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s="3" customFormat="1" ht="30" customHeight="1" thickBot="1" x14ac:dyDescent="0.4">
      <c r="A8" s="36" t="s">
        <v>7</v>
      </c>
      <c r="B8" s="14" t="s">
        <v>40</v>
      </c>
      <c r="C8" s="42"/>
      <c r="D8" s="15"/>
      <c r="E8" s="49"/>
      <c r="F8" s="50"/>
      <c r="G8" s="13"/>
      <c r="H8" s="13" t="str">
        <f t="shared" ref="H8:H12" si="5">IF(OR(ISBLANK(task_start),ISBLANK(task_end)),"",task_end-task_start+1)</f>
        <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s="3" customFormat="1" ht="30" customHeight="1" thickBot="1" x14ac:dyDescent="0.4">
      <c r="A9" s="36" t="s">
        <v>8</v>
      </c>
      <c r="B9" s="44" t="s">
        <v>41</v>
      </c>
      <c r="C9" s="43" t="s">
        <v>38</v>
      </c>
      <c r="D9" s="16">
        <v>0.9</v>
      </c>
      <c r="E9" s="51">
        <f>Projektanfang</f>
        <v>46062</v>
      </c>
      <c r="F9" s="51">
        <v>46069</v>
      </c>
      <c r="G9" s="13"/>
      <c r="H9" s="13">
        <f t="shared" si="5"/>
        <v>8</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s="3" customFormat="1" ht="30" customHeight="1" thickBot="1" x14ac:dyDescent="0.4">
      <c r="A10" s="36" t="s">
        <v>9</v>
      </c>
      <c r="B10" s="44" t="s">
        <v>42</v>
      </c>
      <c r="C10" s="43" t="s">
        <v>38</v>
      </c>
      <c r="D10" s="16">
        <v>0.3</v>
      </c>
      <c r="E10" s="51">
        <v>46070</v>
      </c>
      <c r="F10" s="51">
        <v>46077</v>
      </c>
      <c r="G10" s="13"/>
      <c r="H10" s="13">
        <f t="shared" si="5"/>
        <v>8</v>
      </c>
      <c r="I10" s="21"/>
      <c r="J10" s="21"/>
      <c r="K10" s="21"/>
      <c r="L10" s="21"/>
      <c r="M10" s="21"/>
      <c r="N10" s="21"/>
      <c r="O10" s="21"/>
      <c r="P10" s="21"/>
      <c r="Q10" s="21"/>
      <c r="R10" s="21"/>
      <c r="S10" s="21"/>
      <c r="T10" s="21"/>
      <c r="U10" s="22"/>
      <c r="V10" s="22"/>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s="3" customFormat="1" ht="30" customHeight="1" thickBot="1" x14ac:dyDescent="0.4">
      <c r="A11" s="35"/>
      <c r="B11" s="44" t="s">
        <v>37</v>
      </c>
      <c r="C11" s="43" t="s">
        <v>38</v>
      </c>
      <c r="D11" s="16">
        <v>0</v>
      </c>
      <c r="E11" s="51">
        <v>46079</v>
      </c>
      <c r="F11" s="51">
        <v>46079</v>
      </c>
      <c r="G11" s="13"/>
      <c r="H11" s="13">
        <f t="shared" si="5"/>
        <v>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s="3" customFormat="1" ht="30" customHeight="1" thickBot="1" x14ac:dyDescent="0.4">
      <c r="A12" s="36" t="s">
        <v>10</v>
      </c>
      <c r="B12" s="17" t="s">
        <v>15</v>
      </c>
      <c r="C12" s="18"/>
      <c r="D12" s="19"/>
      <c r="E12" s="52"/>
      <c r="F12" s="53"/>
      <c r="G12" s="20"/>
      <c r="H12" s="20" t="str">
        <f t="shared" si="5"/>
        <v/>
      </c>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30" customHeight="1" x14ac:dyDescent="0.35">
      <c r="G13" s="6"/>
    </row>
    <row r="14" spans="1:64" ht="30" customHeight="1" x14ac:dyDescent="0.35">
      <c r="C14" s="11"/>
      <c r="F14" s="37"/>
    </row>
    <row r="15" spans="1:64" ht="30" customHeight="1" x14ac:dyDescent="0.35">
      <c r="C15" s="12"/>
    </row>
  </sheetData>
  <mergeCells count="10">
    <mergeCell ref="C4:D4"/>
    <mergeCell ref="AK4:AQ4"/>
    <mergeCell ref="AR4:AX4"/>
    <mergeCell ref="AY4:BE4"/>
    <mergeCell ref="BF4:BL4"/>
    <mergeCell ref="E3:F3"/>
    <mergeCell ref="I4:O4"/>
    <mergeCell ref="P4:V4"/>
    <mergeCell ref="W4:AC4"/>
    <mergeCell ref="AD4:AJ4"/>
  </mergeCells>
  <conditionalFormatting sqref="D7:D1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12">
    <cfRule type="expression" dxfId="2" priority="33">
      <formula>AND(TODAY()&gt;=I$5,TODAY()&lt;J$5)</formula>
    </cfRule>
  </conditionalFormatting>
  <conditionalFormatting sqref="I7:BL12">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796875" defaultRowHeight="13" x14ac:dyDescent="0.3"/>
  <cols>
    <col min="1" max="1" width="87.1796875" style="25" customWidth="1"/>
    <col min="2" max="16384" width="9.1796875" style="2"/>
  </cols>
  <sheetData>
    <row r="1" spans="1:2" ht="46.5" customHeight="1" x14ac:dyDescent="0.3"/>
    <row r="2" spans="1:2" s="27" customFormat="1" ht="15.5" x14ac:dyDescent="0.35">
      <c r="A2" s="26" t="s">
        <v>22</v>
      </c>
      <c r="B2" s="26"/>
    </row>
    <row r="3" spans="1:2" s="31" customFormat="1" ht="27" customHeight="1" x14ac:dyDescent="0.35">
      <c r="A3" s="48" t="s">
        <v>23</v>
      </c>
      <c r="B3" s="32"/>
    </row>
    <row r="4" spans="1:2" s="28" customFormat="1" ht="26" x14ac:dyDescent="0.6">
      <c r="A4" s="29" t="s">
        <v>24</v>
      </c>
    </row>
    <row r="5" spans="1:2" ht="74.150000000000006" customHeight="1" x14ac:dyDescent="0.3">
      <c r="A5" s="30" t="s">
        <v>25</v>
      </c>
    </row>
    <row r="6" spans="1:2" ht="26.25" customHeight="1" x14ac:dyDescent="0.3">
      <c r="A6" s="29" t="s">
        <v>26</v>
      </c>
    </row>
    <row r="7" spans="1:2" s="25" customFormat="1" ht="205" customHeight="1" x14ac:dyDescent="0.35">
      <c r="A7" s="34" t="s">
        <v>27</v>
      </c>
    </row>
    <row r="8" spans="1:2" s="28" customFormat="1" ht="26" x14ac:dyDescent="0.6">
      <c r="A8" s="29" t="s">
        <v>28</v>
      </c>
    </row>
    <row r="9" spans="1:2" ht="72.5" x14ac:dyDescent="0.3">
      <c r="A9" s="30" t="s">
        <v>29</v>
      </c>
    </row>
    <row r="10" spans="1:2" s="25" customFormat="1" ht="28" customHeight="1" x14ac:dyDescent="0.35">
      <c r="A10" s="33" t="s">
        <v>30</v>
      </c>
    </row>
    <row r="11" spans="1:2" s="28" customFormat="1" ht="26" x14ac:dyDescent="0.6">
      <c r="A11" s="29" t="s">
        <v>31</v>
      </c>
    </row>
    <row r="12" spans="1:2" ht="29" x14ac:dyDescent="0.3">
      <c r="A12" s="30" t="s">
        <v>32</v>
      </c>
    </row>
    <row r="13" spans="1:2" s="25" customFormat="1" ht="28" customHeight="1" x14ac:dyDescent="0.35">
      <c r="A13" s="33" t="s">
        <v>33</v>
      </c>
    </row>
    <row r="14" spans="1:2" s="28" customFormat="1" ht="26" x14ac:dyDescent="0.6">
      <c r="A14" s="29" t="s">
        <v>34</v>
      </c>
    </row>
    <row r="15" spans="1:2" ht="75" customHeight="1" x14ac:dyDescent="0.3">
      <c r="A15" s="30" t="s">
        <v>35</v>
      </c>
    </row>
    <row r="16" spans="1:2" ht="72.5" x14ac:dyDescent="0.3">
      <c r="A16" s="30" t="s">
        <v>36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2026-02-17T08:44:59Z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